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742E5E0F-BEE3-4975-9D29-5883F20C390D}" xr6:coauthVersionLast="47" xr6:coauthVersionMax="47" xr10:uidLastSave="{00000000-0000-0000-0000-000000000000}"/>
  <bookViews>
    <workbookView xWindow="-108" yWindow="-108" windowWidth="23256" windowHeight="12456" activeTab="1" xr2:uid="{2E31F9DE-71EA-432F-9FB7-AA64D663466A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F22" i="2"/>
  <c r="F23" i="2"/>
  <c r="F24" i="2"/>
  <c r="F25" i="2"/>
  <c r="F26" i="2"/>
  <c r="F21" i="2"/>
  <c r="E24" i="2"/>
  <c r="E25" i="2"/>
  <c r="E26" i="2"/>
  <c r="E23" i="2"/>
  <c r="E22" i="2"/>
  <c r="E21" i="2"/>
  <c r="J9" i="2"/>
  <c r="H9" i="2"/>
  <c r="G9" i="2"/>
  <c r="F9" i="2"/>
  <c r="E9" i="2"/>
  <c r="D9" i="2"/>
  <c r="G2" i="2"/>
  <c r="D8" i="2"/>
  <c r="E8" i="2"/>
  <c r="F8" i="2" s="1"/>
  <c r="H8" i="2" s="1"/>
  <c r="G8" i="2"/>
  <c r="J8" i="2"/>
  <c r="J3" i="2"/>
  <c r="J4" i="2"/>
  <c r="J5" i="2"/>
  <c r="J6" i="2"/>
  <c r="J7" i="2"/>
  <c r="J2" i="2"/>
  <c r="H3" i="2"/>
  <c r="H4" i="2"/>
  <c r="H5" i="2"/>
  <c r="H6" i="2"/>
  <c r="H7" i="2"/>
  <c r="H2" i="2"/>
  <c r="D3" i="1"/>
  <c r="D4" i="1"/>
  <c r="D5" i="1"/>
  <c r="D6" i="1"/>
  <c r="D7" i="1"/>
  <c r="D2" i="1"/>
  <c r="G3" i="2"/>
  <c r="G4" i="2"/>
  <c r="G5" i="2"/>
  <c r="G6" i="2"/>
  <c r="G7" i="2"/>
  <c r="E3" i="2"/>
  <c r="F3" i="2" s="1"/>
  <c r="E4" i="2"/>
  <c r="F4" i="2" s="1"/>
  <c r="E5" i="2"/>
  <c r="F5" i="2" s="1"/>
  <c r="E6" i="2"/>
  <c r="F6" i="2" s="1"/>
  <c r="E7" i="2"/>
  <c r="F7" i="2" s="1"/>
  <c r="E2" i="2"/>
  <c r="F2" i="2" s="1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<sst xmlns="http://schemas.openxmlformats.org/spreadsheetml/2006/main" count="36" uniqueCount="26">
  <si>
    <t>Price</t>
  </si>
  <si>
    <t>Product A</t>
  </si>
  <si>
    <t>Product B</t>
  </si>
  <si>
    <t>Product C</t>
  </si>
  <si>
    <t>Product D</t>
  </si>
  <si>
    <t>Product E</t>
  </si>
  <si>
    <t>Product F</t>
  </si>
  <si>
    <t>ProductID</t>
  </si>
  <si>
    <t>Product</t>
  </si>
  <si>
    <t>Quantity</t>
  </si>
  <si>
    <t>TotalPrice</t>
  </si>
  <si>
    <t>OrderID</t>
  </si>
  <si>
    <t>Product Name</t>
  </si>
  <si>
    <t>Valid ProductID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</si>
  <si>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</si>
  <si>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</si>
  <si>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</si>
  <si>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</si>
  <si>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</si>
  <si>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</si>
  <si>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</si>
  <si>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Order/Not ord</t>
  </si>
  <si>
    <t>Discounted Price</t>
  </si>
  <si>
    <t>Max</t>
  </si>
  <si>
    <t>Total Quantity</t>
  </si>
  <si>
    <t>Total Price for each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</si>
</sst>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0" fontId="0" fillId="5" borderId="0" xfId="0" applyFill="1"/>
    <xf numFmtId="0" fontId="1" fillId="5" borderId="2" xfId="0" applyFont="1" applyFill="1" applyBorder="1"/>
    <xf numFmtId="0" fontId="0" fillId="5" borderId="1" xfId="0" applyFill="1" applyBorder="1"/>
    <xf numFmtId="0" fontId="0" fillId="5" borderId="3" xfId="0" applyFill="1" applyBorder="1"/>
    <xf numFmtId="0" fontId="0" fillId="6" borderId="0" xfId="0" applyFill="1"/>
    <xf numFmtId="0" fontId="0" fillId="7" borderId="0" xfId="0" applyFill="1"/>
    <xf numFmtId="0" fontId="1" fillId="6" borderId="3" xfId="0" applyFont="1" applyFill="1" applyBorder="1"/>
    <xf numFmtId="0" fontId="0" fillId="6" borderId="3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0" borderId="4" xfId="0" applyBorder="1"/>
    <xf numFmtId="0" fontId="0" fillId="0" borderId="2" xfId="0" applyBorder="1"/>
    <xf numFmtId="0" fontId="0" fillId="2" borderId="5" xfId="0" applyFill="1" applyBorder="1"/>
    <xf numFmtId="0" fontId="1" fillId="8" borderId="1" xfId="0" applyFont="1" applyFill="1" applyBorder="1"/>
    <xf numFmtId="0" fontId="0" fillId="8" borderId="1" xfId="0" applyFill="1" applyBorder="1"/>
    <xf numFmtId="0" fontId="1" fillId="7" borderId="3" xfId="0" applyFont="1" applyFill="1" applyBorder="1"/>
    <xf numFmtId="0" fontId="0" fillId="7" borderId="3" xfId="0" applyFill="1" applyBorder="1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6238-6C7A-4FAA-85EE-3516DAAC42BA}">
  <dimension ref="A1:D7"/>
  <sheetViews>
    <sheetView workbookViewId="0">
      <selection activeCell="B1" sqref="B1:B7"/>
    </sheetView>
  </sheetViews>
  <sheetFormatPr defaultRowHeight="14.4" x14ac:dyDescent="0.3"/>
  <cols>
    <col min="1" max="1" width="10.44140625" customWidth="1"/>
    <col min="2" max="2" width="10.88671875" customWidth="1"/>
    <col min="4" max="4" width="12.77734375" bestFit="1" customWidth="1"/>
  </cols>
  <sheetData>
    <row r="1" spans="1:4" x14ac:dyDescent="0.3">
      <c r="A1" s="1" t="s">
        <v>7</v>
      </c>
      <c r="B1" s="1" t="s">
        <v>8</v>
      </c>
      <c r="C1" s="1" t="s">
        <v>0</v>
      </c>
      <c r="D1" s="1" t="s">
        <v>21</v>
      </c>
    </row>
    <row r="2" spans="1:4" x14ac:dyDescent="0.3">
      <c r="A2" s="1">
        <v>101</v>
      </c>
      <c r="B2" s="1" t="s">
        <v>1</v>
      </c>
      <c r="C2" s="1">
        <v>120</v>
      </c>
      <c r="D2" s="1" t="str">
        <f>IF(ISNA(VLOOKUP(A2,Orders!B1:B7,1,0)),"NO","YES")</f>
        <v>YES</v>
      </c>
    </row>
    <row r="3" spans="1:4" x14ac:dyDescent="0.3">
      <c r="A3" s="1">
        <v>102</v>
      </c>
      <c r="B3" s="1" t="s">
        <v>2</v>
      </c>
      <c r="C3" s="1">
        <v>150</v>
      </c>
      <c r="D3" s="1" t="str">
        <f>IF(ISNA(VLOOKUP(A3,Orders!B2:B8,1,0)),"NO","YES")</f>
        <v>YES</v>
      </c>
    </row>
    <row r="4" spans="1:4" x14ac:dyDescent="0.3">
      <c r="A4" s="1">
        <v>103</v>
      </c>
      <c r="B4" s="1" t="s">
        <v>3</v>
      </c>
      <c r="C4" s="1">
        <v>200</v>
      </c>
      <c r="D4" s="1" t="str">
        <f>IF(ISNA(VLOOKUP(A4,Orders!B3:B9,1,0)),"NO","YES")</f>
        <v>YES</v>
      </c>
    </row>
    <row r="5" spans="1:4" x14ac:dyDescent="0.3">
      <c r="A5" s="1">
        <v>104</v>
      </c>
      <c r="B5" s="1" t="s">
        <v>4</v>
      </c>
      <c r="C5" s="1">
        <v>90</v>
      </c>
      <c r="D5" s="1" t="str">
        <f>IF(ISNA(VLOOKUP(A5,Orders!B4:B10,1,0)),"NO","YES")</f>
        <v>YES</v>
      </c>
    </row>
    <row r="6" spans="1:4" x14ac:dyDescent="0.3">
      <c r="A6" s="1">
        <v>105</v>
      </c>
      <c r="B6" s="1" t="s">
        <v>5</v>
      </c>
      <c r="C6" s="1">
        <v>220</v>
      </c>
      <c r="D6" s="1" t="str">
        <f>IF(ISNA(VLOOKUP(A6,Orders!B5:B11,1,0)),"NO","YES")</f>
        <v>YES</v>
      </c>
    </row>
    <row r="7" spans="1:4" x14ac:dyDescent="0.3">
      <c r="A7" s="1">
        <v>106</v>
      </c>
      <c r="B7" s="1" t="s">
        <v>6</v>
      </c>
      <c r="C7" s="1">
        <v>130</v>
      </c>
      <c r="D7" s="1" t="str">
        <f>IF(ISNA(VLOOKUP(A7,Orders!B6:B12,1,0)),"NO","YES")</f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AFE1-2D8E-4771-AFF7-71E240932ADF}">
  <dimension ref="A1:L26"/>
  <sheetViews>
    <sheetView tabSelected="1" workbookViewId="0">
      <selection activeCell="I22" sqref="I22"/>
    </sheetView>
  </sheetViews>
  <sheetFormatPr defaultRowHeight="14.4" x14ac:dyDescent="0.3"/>
  <cols>
    <col min="1" max="1" width="9.77734375" customWidth="1"/>
    <col min="2" max="2" width="10.88671875" customWidth="1"/>
    <col min="3" max="3" width="10.5546875" customWidth="1"/>
    <col min="4" max="4" width="13.6640625" customWidth="1"/>
    <col min="5" max="5" width="13.109375" bestFit="1" customWidth="1"/>
    <col min="6" max="6" width="24.5546875" bestFit="1" customWidth="1"/>
    <col min="7" max="7" width="15.109375" customWidth="1"/>
    <col min="8" max="8" width="14.6640625" bestFit="1" customWidth="1"/>
    <col min="9" max="9" width="10" customWidth="1"/>
    <col min="10" max="10" width="14.109375" bestFit="1" customWidth="1"/>
    <col min="11" max="11" width="24" bestFit="1" customWidth="1"/>
    <col min="13" max="13" width="24" bestFit="1" customWidth="1"/>
  </cols>
  <sheetData>
    <row r="1" spans="1:12" x14ac:dyDescent="0.3">
      <c r="A1" s="2" t="s">
        <v>11</v>
      </c>
      <c r="B1" s="2" t="s">
        <v>7</v>
      </c>
      <c r="C1" s="2" t="s">
        <v>9</v>
      </c>
      <c r="D1" s="4" t="s">
        <v>12</v>
      </c>
      <c r="E1" s="7" t="s">
        <v>0</v>
      </c>
      <c r="F1" s="2" t="s">
        <v>10</v>
      </c>
      <c r="G1" s="10" t="s">
        <v>13</v>
      </c>
      <c r="H1" s="13" t="s">
        <v>22</v>
      </c>
      <c r="I1" s="18" t="s">
        <v>23</v>
      </c>
      <c r="J1" s="27" t="s">
        <v>24</v>
      </c>
      <c r="K1" s="29"/>
      <c r="L1" s="22"/>
    </row>
    <row r="2" spans="1:12" x14ac:dyDescent="0.3">
      <c r="A2" s="1">
        <v>1</v>
      </c>
      <c r="B2" s="1">
        <v>101</v>
      </c>
      <c r="C2" s="1">
        <v>2</v>
      </c>
      <c r="D2" s="5" t="str">
        <f>VLOOKUP(B2,Products!$A$1:$C$7,2,0)</f>
        <v>Product A</v>
      </c>
      <c r="E2" s="8">
        <f>VLOOKUP(B2,Products!$A$1:$C$7,3,0)</f>
        <v>120</v>
      </c>
      <c r="F2" s="1">
        <f t="shared" ref="F2:F9" si="0">C2*E2</f>
        <v>240</v>
      </c>
      <c r="G2" s="11">
        <f>IFERROR(VLOOKUP(B2,Products!$A$1:$C$7,1,0),"Do Not Exist")</f>
        <v>101</v>
      </c>
      <c r="H2" s="14">
        <f>F2-F2*10%</f>
        <v>216</v>
      </c>
      <c r="I2" s="19">
        <f>MAX(F21:F26)</f>
        <v>1540</v>
      </c>
      <c r="J2" s="28">
        <f>SUMIF($D$2:$D$7,D2,$C$2:$C$7)</f>
        <v>2</v>
      </c>
      <c r="K2" s="30"/>
    </row>
    <row r="3" spans="1:12" x14ac:dyDescent="0.3">
      <c r="A3" s="1">
        <v>2</v>
      </c>
      <c r="B3" s="1">
        <v>103</v>
      </c>
      <c r="C3" s="1">
        <v>1</v>
      </c>
      <c r="D3" s="5" t="str">
        <f>VLOOKUP(B3,Products!$A$1:$C$7,2,0)</f>
        <v>Product C</v>
      </c>
      <c r="E3" s="8">
        <f>VLOOKUP(B3,Products!$A$1:$C$7,3,0)</f>
        <v>200</v>
      </c>
      <c r="F3" s="1">
        <f t="shared" si="0"/>
        <v>200</v>
      </c>
      <c r="G3" s="11">
        <f>IFERROR(VLOOKUP(B3,Products!$A$1:$C$7,1,0),"Do Not Exist")</f>
        <v>103</v>
      </c>
      <c r="H3" s="15">
        <f t="shared" ref="H3:H9" si="1">F3-F3*10%</f>
        <v>180</v>
      </c>
      <c r="J3" s="28">
        <f t="shared" ref="J3:J9" si="2">SUMIF($D$2:$D$7,D3,$C$2:$C$7)</f>
        <v>1</v>
      </c>
      <c r="K3" s="30"/>
    </row>
    <row r="4" spans="1:12" x14ac:dyDescent="0.3">
      <c r="A4" s="1">
        <v>3</v>
      </c>
      <c r="B4" s="1">
        <v>105</v>
      </c>
      <c r="C4" s="1">
        <v>4</v>
      </c>
      <c r="D4" s="5" t="str">
        <f>VLOOKUP(B4,Products!$A$1:$C$7,2,0)</f>
        <v>Product E</v>
      </c>
      <c r="E4" s="8">
        <f>VLOOKUP(B4,Products!$A$1:$C$7,3,0)</f>
        <v>220</v>
      </c>
      <c r="F4" s="1">
        <f t="shared" si="0"/>
        <v>880</v>
      </c>
      <c r="G4" s="11">
        <f>IFERROR(VLOOKUP(B4,Products!$A$1:$C$7,1,0),"Do Not Exist")</f>
        <v>105</v>
      </c>
      <c r="H4" s="15">
        <f t="shared" si="1"/>
        <v>792</v>
      </c>
      <c r="J4" s="28">
        <f t="shared" si="2"/>
        <v>4</v>
      </c>
      <c r="K4" s="30"/>
    </row>
    <row r="5" spans="1:12" x14ac:dyDescent="0.3">
      <c r="A5" s="1">
        <v>4</v>
      </c>
      <c r="B5" s="1">
        <v>106</v>
      </c>
      <c r="C5" s="1">
        <v>3</v>
      </c>
      <c r="D5" s="5" t="str">
        <f>VLOOKUP(B5,Products!$A$1:$C$7,2,0)</f>
        <v>Product F</v>
      </c>
      <c r="E5" s="8">
        <f>VLOOKUP(B5,Products!$A$1:$C$7,3,0)</f>
        <v>130</v>
      </c>
      <c r="F5" s="1">
        <f t="shared" si="0"/>
        <v>390</v>
      </c>
      <c r="G5" s="11">
        <f>IFERROR(VLOOKUP(B5,Products!$A$1:$C$7,1,0),"Do Not Exist")</f>
        <v>106</v>
      </c>
      <c r="H5" s="15">
        <f t="shared" si="1"/>
        <v>351</v>
      </c>
      <c r="J5" s="28">
        <f t="shared" si="2"/>
        <v>3</v>
      </c>
      <c r="K5" s="30"/>
    </row>
    <row r="6" spans="1:12" x14ac:dyDescent="0.3">
      <c r="A6" s="1">
        <v>5</v>
      </c>
      <c r="B6" s="1">
        <v>102</v>
      </c>
      <c r="C6" s="1">
        <v>5</v>
      </c>
      <c r="D6" s="5" t="str">
        <f>VLOOKUP(B6,Products!$A$1:$C$7,2,0)</f>
        <v>Product B</v>
      </c>
      <c r="E6" s="8">
        <f>VLOOKUP(B6,Products!$A$1:$C$7,3,0)</f>
        <v>150</v>
      </c>
      <c r="F6" s="1">
        <f t="shared" si="0"/>
        <v>750</v>
      </c>
      <c r="G6" s="11">
        <f>IFERROR(VLOOKUP(B6,Products!$A$1:$C$7,1,0),"Do Not Exist")</f>
        <v>102</v>
      </c>
      <c r="H6" s="15">
        <f t="shared" si="1"/>
        <v>675</v>
      </c>
      <c r="J6" s="28">
        <f t="shared" si="2"/>
        <v>5</v>
      </c>
      <c r="K6" s="30"/>
    </row>
    <row r="7" spans="1:12" x14ac:dyDescent="0.3">
      <c r="A7" s="1">
        <v>6</v>
      </c>
      <c r="B7" s="1">
        <v>104</v>
      </c>
      <c r="C7" s="1">
        <v>6</v>
      </c>
      <c r="D7" s="5" t="str">
        <f>VLOOKUP(B7,Products!$A$1:$C$7,2,0)</f>
        <v>Product D</v>
      </c>
      <c r="E7" s="8">
        <f>VLOOKUP(B7,Products!$A$1:$C$7,3,0)</f>
        <v>90</v>
      </c>
      <c r="F7" s="1">
        <f t="shared" si="0"/>
        <v>540</v>
      </c>
      <c r="G7" s="11">
        <f>IFERROR(VLOOKUP(B7,Products!$A$1:$C$7,1,0),"Do Not Exist")</f>
        <v>104</v>
      </c>
      <c r="H7" s="15">
        <f t="shared" si="1"/>
        <v>486</v>
      </c>
      <c r="J7" s="28">
        <f t="shared" si="2"/>
        <v>6</v>
      </c>
      <c r="K7" s="30"/>
    </row>
    <row r="8" spans="1:12" x14ac:dyDescent="0.3">
      <c r="A8" s="1">
        <v>7</v>
      </c>
      <c r="B8" s="1">
        <v>101</v>
      </c>
      <c r="C8" s="1">
        <v>6</v>
      </c>
      <c r="D8" s="5" t="str">
        <f>VLOOKUP(B8,Products!$A$1:$C$7,2,0)</f>
        <v>Product A</v>
      </c>
      <c r="E8" s="8">
        <f>VLOOKUP(B8,Products!$A$1:$C$7,3,0)</f>
        <v>120</v>
      </c>
      <c r="F8" s="1">
        <f t="shared" si="0"/>
        <v>720</v>
      </c>
      <c r="G8" s="11">
        <f>IFERROR(VLOOKUP(B8,Products!$A$1:$C$7,1,0),"Do Not Exist")</f>
        <v>101</v>
      </c>
      <c r="H8" s="15">
        <f t="shared" si="1"/>
        <v>648</v>
      </c>
      <c r="J8" s="28">
        <f t="shared" si="2"/>
        <v>2</v>
      </c>
      <c r="K8" s="30"/>
    </row>
    <row r="9" spans="1:12" x14ac:dyDescent="0.3">
      <c r="A9" s="23">
        <v>8</v>
      </c>
      <c r="B9" s="23">
        <v>105</v>
      </c>
      <c r="C9" s="23">
        <v>3</v>
      </c>
      <c r="D9" s="5" t="str">
        <f>VLOOKUP(B9,Products!$A$1:$C$7,2,0)</f>
        <v>Product E</v>
      </c>
      <c r="E9" s="8">
        <f>VLOOKUP(B9,Products!$A$1:$C$7,3,0)</f>
        <v>220</v>
      </c>
      <c r="F9" s="1">
        <f t="shared" si="0"/>
        <v>660</v>
      </c>
      <c r="G9" s="11">
        <f>IFERROR(VLOOKUP(B9,Products!$A$1:$C$7,1,0),"Do Not Exist")</f>
        <v>105</v>
      </c>
      <c r="H9" s="15">
        <f t="shared" si="1"/>
        <v>594</v>
      </c>
      <c r="J9" s="28">
        <f t="shared" si="2"/>
        <v>4</v>
      </c>
      <c r="K9" s="30"/>
    </row>
    <row r="11" spans="1:12" x14ac:dyDescent="0.3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2" x14ac:dyDescent="0.3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2" x14ac:dyDescent="0.3">
      <c r="A13" s="9" t="s">
        <v>16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2" x14ac:dyDescent="0.3">
      <c r="A14" s="12" t="s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2" x14ac:dyDescent="0.3">
      <c r="A15" s="16" t="s">
        <v>18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2" x14ac:dyDescent="0.3">
      <c r="A16" t="s">
        <v>19</v>
      </c>
    </row>
    <row r="17" spans="1:11" x14ac:dyDescent="0.3">
      <c r="A17" s="17" t="s">
        <v>20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20" spans="1:11" x14ac:dyDescent="0.3">
      <c r="D20" s="5" t="s">
        <v>8</v>
      </c>
      <c r="E20" s="20" t="s">
        <v>24</v>
      </c>
      <c r="F20" s="25" t="s">
        <v>25</v>
      </c>
    </row>
    <row r="21" spans="1:11" x14ac:dyDescent="0.3">
      <c r="D21" s="5" t="s">
        <v>1</v>
      </c>
      <c r="E21" s="21">
        <f>SUMIF(D2:D9,D21,C2:C9)</f>
        <v>8</v>
      </c>
      <c r="F21" s="26">
        <f>SUMIF(D2:D9,D2,F2:F9)</f>
        <v>960</v>
      </c>
    </row>
    <row r="22" spans="1:11" x14ac:dyDescent="0.3">
      <c r="D22" s="5" t="s">
        <v>2</v>
      </c>
      <c r="E22" s="21">
        <f t="shared" ref="E22:E26" si="3">SUMIF(D3:D10,D22,C3:C10)</f>
        <v>5</v>
      </c>
      <c r="F22" s="26">
        <f t="shared" ref="F22:F26" si="4">SUMIF(D3:D10,D3,F3:F10)</f>
        <v>200</v>
      </c>
    </row>
    <row r="23" spans="1:11" x14ac:dyDescent="0.3">
      <c r="D23" s="5" t="s">
        <v>3</v>
      </c>
      <c r="E23" s="21">
        <f>SUMIF(D2:D9,D23,C2:C9)</f>
        <v>1</v>
      </c>
      <c r="F23" s="26">
        <f t="shared" si="4"/>
        <v>1540</v>
      </c>
    </row>
    <row r="24" spans="1:11" x14ac:dyDescent="0.3">
      <c r="D24" s="5" t="s">
        <v>4</v>
      </c>
      <c r="E24" s="21">
        <f t="shared" ref="E24:E26" si="5">SUMIF(D3:D10,D24,C3:C10)</f>
        <v>6</v>
      </c>
      <c r="F24" s="26">
        <f t="shared" si="4"/>
        <v>390</v>
      </c>
    </row>
    <row r="25" spans="1:11" x14ac:dyDescent="0.3">
      <c r="D25" s="5" t="s">
        <v>5</v>
      </c>
      <c r="E25" s="21">
        <f t="shared" si="5"/>
        <v>7</v>
      </c>
      <c r="F25" s="26">
        <f t="shared" si="4"/>
        <v>750</v>
      </c>
    </row>
    <row r="26" spans="1:11" x14ac:dyDescent="0.3">
      <c r="D26" s="24" t="s">
        <v>6</v>
      </c>
      <c r="E26" s="21">
        <f t="shared" si="5"/>
        <v>3</v>
      </c>
      <c r="F26" s="26">
        <f t="shared" si="4"/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myselfpriya14@gmail.com</cp:lastModifiedBy>
  <dcterms:created xsi:type="dcterms:W3CDTF">2026-10-07T18:17:48Z</dcterms:created>
  <dcterms:modified xsi:type="dcterms:W3CDTF">2026-10-09T10:28:48Z</dcterms:modified>
</cp:coreProperties>
</file>