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13_ncr:1_{D2CF9B61-C579-4DA5-91F8-C361662D734A}" xr6:coauthVersionLast="47" xr6:coauthVersionMax="47" xr10:uidLastSave="{00000000-0000-0000-0000-000000000000}"/>
  <bookViews>
    <workbookView xWindow="-108" yWindow="-108" windowWidth="23256" windowHeight="12456" xr2:uid="{AFB182EB-A325-4135-849C-A38A95B62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M3" i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H3" i="1"/>
  <c r="H4" i="1"/>
  <c r="H5" i="1"/>
  <c r="H6" i="1"/>
  <c r="H7" i="1"/>
  <c r="H2" i="1"/>
  <c r="G2" i="1"/>
  <c r="G3" i="1"/>
  <c r="G4" i="1"/>
  <c r="G5" i="1"/>
  <c r="G6" i="1"/>
  <c r="G7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<sst xmlns="http://schemas.openxmlformats.org/spreadsheetml/2006/main" count="33" uniqueCount="30">
  <si>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</si>
  <si>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</si>
  <si>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</si>
  <si>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</si>
  <si>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</si>
  <si>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</si>
  <si>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</si>
  <si>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</si>
  <si>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Sales</t>
  </si>
  <si>
    <t>Target</t>
  </si>
  <si>
    <t>Region</t>
  </si>
  <si>
    <t>North</t>
  </si>
  <si>
    <t>South</t>
  </si>
  <si>
    <t>East</t>
  </si>
  <si>
    <t>West</t>
  </si>
  <si>
    <t xml:space="preserve"> 2.Use the IF function to determine if a product is eligible for a regional bonus. Products in the "North" region with sales over 200 are eligible.</t>
  </si>
  <si>
    <t>Eligible for region</t>
  </si>
  <si>
    <t>Sales Target</t>
  </si>
  <si>
    <t xml:space="preserve">3. Use nested IF functions to assign a commission rate based on sales. Sales &gt;= 200 get a 10% commission, sales &gt;= 150 get a 7% commission, and others get a 5% commission. </t>
  </si>
  <si>
    <t>Commission rate</t>
  </si>
  <si>
    <t xml:space="preserve">4. Use the IF function to calculate a bonus amount. If sales met or exceeded the target, the bonus is 10% of the sales; otherwise, it's 5%. </t>
  </si>
  <si>
    <t>Bonus amount</t>
  </si>
  <si>
    <t xml:space="preserve">5. Use the IF function to categorize sales performance as "Excellent" (&gt;=200), "Good" (&gt;=150), or "Needs Improvement" (&lt;150). </t>
  </si>
  <si>
    <t>Performance</t>
  </si>
  <si>
    <t xml:space="preserve">6. Use the IF function to assign a price tier based on the sales value. "High" for sales &gt; 200, "Medium" for sales between 100 and 200, and "Low" for sales &lt; 100. </t>
  </si>
  <si>
    <t>Price tier</t>
  </si>
  <si>
    <t xml:space="preserve">7. Use the IF function to calculate the year-end bonus. If sales &gt;= 150 and region is "North", the bonus is $500, otherwise, it's $300. </t>
  </si>
  <si>
    <t>Year -end Bonus</t>
  </si>
  <si>
    <t xml:space="preserve">8. Use the IF function to mark high performers. A product is a high performer if its sales are in the top 25% of all sales. </t>
  </si>
  <si>
    <t xml:space="preserve">1. Use the IF function to evaluate whether each product met its sales target.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</si>
</sst>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  <xf numFmtId="0" fontId="5" fillId="5" borderId="3" applyNumberFormat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3" borderId="0" xfId="2"/>
    <xf numFmtId="0" fontId="3" fillId="3" borderId="0" xfId="2" applyBorder="1"/>
    <xf numFmtId="0" fontId="3" fillId="3" borderId="1" xfId="2" applyBorder="1"/>
    <xf numFmtId="0" fontId="2" fillId="2" borderId="0" xfId="1"/>
    <xf numFmtId="0" fontId="2" fillId="2" borderId="0" xfId="1" applyBorder="1"/>
    <xf numFmtId="0" fontId="2" fillId="2" borderId="1" xfId="1" applyBorder="1"/>
    <xf numFmtId="0" fontId="4" fillId="4" borderId="2" xfId="3"/>
    <xf numFmtId="0" fontId="5" fillId="5" borderId="3" xfId="4"/>
    <xf numFmtId="0" fontId="6" fillId="6" borderId="0" xfId="5"/>
    <xf numFmtId="0" fontId="6" fillId="6" borderId="0" xfId="5" applyBorder="1"/>
    <xf numFmtId="0" fontId="6" fillId="6" borderId="1" xfId="5" applyBorder="1"/>
    <xf numFmtId="0" fontId="6" fillId="7" borderId="0" xfId="6"/>
    <xf numFmtId="0" fontId="6" fillId="7" borderId="0" xfId="6" applyBorder="1"/>
    <xf numFmtId="0" fontId="6" fillId="7" borderId="1" xfId="6" applyBorder="1"/>
    <xf numFmtId="0" fontId="6" fillId="9" borderId="4" xfId="8" applyBorder="1"/>
    <xf numFmtId="0" fontId="6" fillId="9" borderId="0" xfId="8"/>
    <xf numFmtId="0" fontId="6" fillId="9" borderId="0" xfId="8" applyBorder="1"/>
    <xf numFmtId="0" fontId="6" fillId="8" borderId="0" xfId="7"/>
    <xf numFmtId="0" fontId="6" fillId="8" borderId="0" xfId="7" applyBorder="1"/>
    <xf numFmtId="0" fontId="6" fillId="8" borderId="1" xfId="7" applyBorder="1"/>
    <xf numFmtId="0" fontId="5" fillId="5" borderId="5" xfId="4" applyBorder="1"/>
    <xf numFmtId="0" fontId="5" fillId="5" borderId="6" xfId="4" applyBorder="1"/>
    <xf numFmtId="0" fontId="5" fillId="5" borderId="7" xfId="4" applyBorder="1"/>
    <xf numFmtId="0" fontId="8" fillId="3" borderId="1" xfId="2" applyFont="1" applyBorder="1"/>
    <xf numFmtId="0" fontId="9" fillId="2" borderId="1" xfId="1" applyFont="1" applyBorder="1"/>
    <xf numFmtId="0" fontId="10" fillId="4" borderId="2" xfId="3" applyFont="1"/>
    <xf numFmtId="0" fontId="5" fillId="5" borderId="3" xfId="4" applyFont="1"/>
    <xf numFmtId="0" fontId="7" fillId="6" borderId="1" xfId="5" applyFont="1" applyBorder="1"/>
    <xf numFmtId="0" fontId="7" fillId="7" borderId="1" xfId="6" applyFont="1" applyBorder="1"/>
    <xf numFmtId="0" fontId="7" fillId="9" borderId="4" xfId="8" applyFont="1" applyBorder="1"/>
    <xf numFmtId="0" fontId="7" fillId="8" borderId="1" xfId="7" applyFont="1" applyBorder="1"/>
  </cellXfs>
  <cellStyles count="9">
    <cellStyle name="Accent1" xfId="5" builtinId="29"/>
    <cellStyle name="Accent2" xfId="6" builtinId="33"/>
    <cellStyle name="Accent5" xfId="7" builtinId="45"/>
    <cellStyle name="Accent6" xfId="8" builtinId="49"/>
    <cellStyle name="Bad" xfId="2" builtinId="27"/>
    <cellStyle name="Good" xfId="1" builtinId="26"/>
    <cellStyle name="Input" xfId="3" builtinId="20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CB88-7A69-4833-9632-E5EC9F5A989B}">
  <dimension ref="A1:W24"/>
  <sheetViews>
    <sheetView tabSelected="1" workbookViewId="0">
      <selection activeCell="P17" sqref="P17"/>
    </sheetView>
  </sheetViews>
  <sheetFormatPr defaultRowHeight="14.4" x14ac:dyDescent="0.3"/>
  <cols>
    <col min="6" max="6" width="10.88671875" customWidth="1"/>
    <col min="7" max="7" width="15.44140625" customWidth="1"/>
    <col min="8" max="8" width="14.88671875" customWidth="1"/>
    <col min="9" max="9" width="13.44140625" customWidth="1"/>
    <col min="10" max="10" width="17.6640625" customWidth="1"/>
    <col min="12" max="12" width="14.21875" customWidth="1"/>
    <col min="13" max="13" width="16.5546875" customWidth="1"/>
  </cols>
  <sheetData>
    <row r="1" spans="1:23" x14ac:dyDescent="0.3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7" t="s">
        <v>17</v>
      </c>
      <c r="G1" s="28" t="s">
        <v>16</v>
      </c>
      <c r="H1" s="29" t="s">
        <v>19</v>
      </c>
      <c r="I1" s="30" t="s">
        <v>21</v>
      </c>
      <c r="J1" s="31" t="s">
        <v>23</v>
      </c>
      <c r="K1" s="32" t="s">
        <v>25</v>
      </c>
      <c r="L1" s="33" t="s">
        <v>27</v>
      </c>
      <c r="M1" s="34" t="s">
        <v>23</v>
      </c>
    </row>
    <row r="2" spans="1:23" x14ac:dyDescent="0.3">
      <c r="A2" s="3">
        <v>101</v>
      </c>
      <c r="B2" s="3" t="s">
        <v>2</v>
      </c>
      <c r="C2" s="3">
        <v>120</v>
      </c>
      <c r="D2" s="3">
        <v>150</v>
      </c>
      <c r="E2" s="3" t="s">
        <v>11</v>
      </c>
      <c r="F2" s="6" t="str">
        <f>IF(C2&gt;=D2,"Met","Not Met")</f>
        <v>Not Met</v>
      </c>
      <c r="G2" s="9" t="str">
        <f>IF(AND(E2="North",C2&gt;200),"Eligible","Not Eligible")</f>
        <v>Not Eligible</v>
      </c>
      <c r="H2" s="10">
        <f>IF(C2&gt;=200,10%,IF(C2&gt;=150,7%,5%))</f>
        <v>0.05</v>
      </c>
      <c r="I2" s="11">
        <f>IF(C2&gt;=D2,C2*10%,C2*5%)</f>
        <v>6</v>
      </c>
      <c r="J2" s="14" t="str">
        <f>IF(C2&gt;=200,"Excellent",IF(C2&gt;=150,"Good","Needs Improvement"))</f>
        <v>Needs Improvement</v>
      </c>
      <c r="K2" s="17" t="str">
        <f>IF(C2&gt;200,"High",IF(C2&gt;=100,"Medium","Low"))</f>
        <v>Medium</v>
      </c>
      <c r="L2" s="18">
        <f>IF(AND(C2&gt;=150,E2="North"),500,300)</f>
        <v>300</v>
      </c>
      <c r="M2" s="23" t="str">
        <f t="shared" ref="M2:M7" si="0">IF(C2&gt;=_xlfn.PERCENTILE.INC($C$2:$C$10,75%),"High Performer","Not High Performer")</f>
        <v>Not High Performer</v>
      </c>
    </row>
    <row r="3" spans="1:23" x14ac:dyDescent="0.3">
      <c r="A3" s="3">
        <v>102</v>
      </c>
      <c r="B3" s="3" t="s">
        <v>3</v>
      </c>
      <c r="C3" s="3">
        <v>150</v>
      </c>
      <c r="D3" s="3">
        <v>140</v>
      </c>
      <c r="E3" s="3" t="s">
        <v>12</v>
      </c>
      <c r="F3" s="6" t="str">
        <f t="shared" ref="F3:F7" si="1">IF(C3&gt;=D3,"Met","Not Met")</f>
        <v>Met</v>
      </c>
      <c r="G3" s="9" t="str">
        <f t="shared" ref="G3:G7" si="2">IF(AND(E3="North",C3&gt;=200),"Eligible","Not Eligible")</f>
        <v>Not Eligible</v>
      </c>
      <c r="H3" s="10">
        <f t="shared" ref="H3:H7" si="3">IF(C3&gt;=200,10%,IF(C3&gt;=150,7%,5%))</f>
        <v>7.0000000000000007E-2</v>
      </c>
      <c r="I3" s="11">
        <f t="shared" ref="I3:I7" si="4">IF(C3&gt;=D3,C3*10%,C3*5%)</f>
        <v>15</v>
      </c>
      <c r="J3" s="14" t="str">
        <f t="shared" ref="J3:J7" si="5">IF(C3&gt;=200,"Excellent",IF(C3&gt;=150,"Good","Needs Improvement"))</f>
        <v>Good</v>
      </c>
      <c r="K3" s="17" t="str">
        <f t="shared" ref="K3:K7" si="6">IF(C3&gt;200,"High",IF(C3&gt;=100,"Medium","Low"))</f>
        <v>Medium</v>
      </c>
      <c r="L3" s="18">
        <f t="shared" ref="L3:L7" si="7">IF(AND(C3&gt;=150,E3="North"),500,300)</f>
        <v>300</v>
      </c>
      <c r="M3" s="23" t="str">
        <f t="shared" si="0"/>
        <v>Not High Performer</v>
      </c>
    </row>
    <row r="4" spans="1:23" x14ac:dyDescent="0.3">
      <c r="A4" s="3">
        <v>103</v>
      </c>
      <c r="B4" s="3" t="s">
        <v>4</v>
      </c>
      <c r="C4" s="3">
        <v>200</v>
      </c>
      <c r="D4" s="3">
        <v>200</v>
      </c>
      <c r="E4" s="3" t="s">
        <v>13</v>
      </c>
      <c r="F4" s="6" t="str">
        <f t="shared" si="1"/>
        <v>Met</v>
      </c>
      <c r="G4" s="9" t="str">
        <f t="shared" si="2"/>
        <v>Not Eligible</v>
      </c>
      <c r="H4" s="10">
        <f t="shared" si="3"/>
        <v>0.1</v>
      </c>
      <c r="I4" s="11">
        <f t="shared" si="4"/>
        <v>20</v>
      </c>
      <c r="J4" s="14" t="str">
        <f t="shared" si="5"/>
        <v>Excellent</v>
      </c>
      <c r="K4" s="17" t="str">
        <f t="shared" si="6"/>
        <v>Medium</v>
      </c>
      <c r="L4" s="18">
        <f t="shared" si="7"/>
        <v>300</v>
      </c>
      <c r="M4" s="23" t="str">
        <f t="shared" si="0"/>
        <v>High Performer</v>
      </c>
    </row>
    <row r="5" spans="1:23" x14ac:dyDescent="0.3">
      <c r="A5" s="3">
        <v>104</v>
      </c>
      <c r="B5" s="3" t="s">
        <v>5</v>
      </c>
      <c r="C5" s="3">
        <v>90</v>
      </c>
      <c r="D5" s="3">
        <v>100</v>
      </c>
      <c r="E5" s="3" t="s">
        <v>14</v>
      </c>
      <c r="F5" s="6" t="str">
        <f t="shared" si="1"/>
        <v>Not Met</v>
      </c>
      <c r="G5" s="9" t="str">
        <f t="shared" si="2"/>
        <v>Not Eligible</v>
      </c>
      <c r="H5" s="10">
        <f t="shared" si="3"/>
        <v>0.05</v>
      </c>
      <c r="I5" s="11">
        <f t="shared" si="4"/>
        <v>4.5</v>
      </c>
      <c r="J5" s="14" t="str">
        <f t="shared" si="5"/>
        <v>Needs Improvement</v>
      </c>
      <c r="K5" s="17" t="str">
        <f t="shared" si="6"/>
        <v>Low</v>
      </c>
      <c r="L5" s="18">
        <f t="shared" si="7"/>
        <v>300</v>
      </c>
      <c r="M5" s="23" t="str">
        <f t="shared" si="0"/>
        <v>Not High Performer</v>
      </c>
    </row>
    <row r="6" spans="1:23" x14ac:dyDescent="0.3">
      <c r="A6" s="3">
        <v>105</v>
      </c>
      <c r="B6" s="3" t="s">
        <v>6</v>
      </c>
      <c r="C6" s="3">
        <v>220</v>
      </c>
      <c r="D6" s="3">
        <v>210</v>
      </c>
      <c r="E6" s="3" t="s">
        <v>11</v>
      </c>
      <c r="F6" s="6" t="str">
        <f t="shared" si="1"/>
        <v>Met</v>
      </c>
      <c r="G6" s="9" t="str">
        <f t="shared" si="2"/>
        <v>Eligible</v>
      </c>
      <c r="H6" s="10">
        <f t="shared" si="3"/>
        <v>0.1</v>
      </c>
      <c r="I6" s="11">
        <f t="shared" si="4"/>
        <v>22</v>
      </c>
      <c r="J6" s="14" t="str">
        <f t="shared" si="5"/>
        <v>Excellent</v>
      </c>
      <c r="K6" s="17" t="str">
        <f t="shared" si="6"/>
        <v>High</v>
      </c>
      <c r="L6" s="18">
        <f t="shared" si="7"/>
        <v>500</v>
      </c>
      <c r="M6" s="23" t="str">
        <f t="shared" si="0"/>
        <v>High Performer</v>
      </c>
    </row>
    <row r="7" spans="1:23" x14ac:dyDescent="0.3">
      <c r="A7" s="3">
        <v>106</v>
      </c>
      <c r="B7" s="3" t="s">
        <v>7</v>
      </c>
      <c r="C7" s="3">
        <v>130</v>
      </c>
      <c r="D7" s="3">
        <v>160</v>
      </c>
      <c r="E7" s="3" t="s">
        <v>12</v>
      </c>
      <c r="F7" s="6" t="str">
        <f t="shared" si="1"/>
        <v>Not Met</v>
      </c>
      <c r="G7" s="9" t="str">
        <f t="shared" si="2"/>
        <v>Not Eligible</v>
      </c>
      <c r="H7" s="10">
        <f t="shared" si="3"/>
        <v>0.05</v>
      </c>
      <c r="I7" s="11">
        <f t="shared" si="4"/>
        <v>6.5</v>
      </c>
      <c r="J7" s="14" t="str">
        <f t="shared" si="5"/>
        <v>Needs Improvement</v>
      </c>
      <c r="K7" s="17" t="str">
        <f t="shared" si="6"/>
        <v>Medium</v>
      </c>
      <c r="L7" s="18">
        <f t="shared" si="7"/>
        <v>300</v>
      </c>
      <c r="M7" s="23" t="str">
        <f t="shared" si="0"/>
        <v>Not High Performer</v>
      </c>
    </row>
    <row r="9" spans="1:23" x14ac:dyDescent="0.3">
      <c r="J9" s="1"/>
    </row>
    <row r="10" spans="1:23" x14ac:dyDescent="0.3">
      <c r="A10" s="4" t="s">
        <v>29</v>
      </c>
      <c r="B10" s="4"/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</row>
    <row r="12" spans="1:23" x14ac:dyDescent="0.3">
      <c r="A12" s="7" t="s">
        <v>15</v>
      </c>
      <c r="B12" s="7"/>
      <c r="C12" s="7"/>
      <c r="D12" s="7"/>
      <c r="E12" s="7"/>
      <c r="F12" s="8"/>
      <c r="G12" s="7"/>
      <c r="H12" s="7"/>
      <c r="I12" s="7"/>
      <c r="J12" s="7"/>
      <c r="K12" s="7"/>
      <c r="L12" s="7"/>
      <c r="M12" s="7"/>
    </row>
    <row r="14" spans="1:23" x14ac:dyDescent="0.3">
      <c r="A14" s="10" t="s">
        <v>18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U14" s="1"/>
      <c r="V14" s="1"/>
      <c r="W14" s="1"/>
    </row>
    <row r="16" spans="1:23" x14ac:dyDescent="0.3">
      <c r="A16" s="24" t="s">
        <v>20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</row>
    <row r="18" spans="1:13" x14ac:dyDescent="0.3">
      <c r="A18" s="12" t="s">
        <v>22</v>
      </c>
      <c r="B18" s="12"/>
      <c r="C18" s="12"/>
      <c r="D18" s="12"/>
      <c r="E18" s="12"/>
      <c r="F18" s="13"/>
      <c r="G18" s="12"/>
      <c r="H18" s="12"/>
      <c r="I18" s="12"/>
      <c r="J18" s="12"/>
      <c r="K18" s="12"/>
      <c r="L18" s="12"/>
      <c r="M18" s="12"/>
    </row>
    <row r="20" spans="1:13" x14ac:dyDescent="0.3">
      <c r="A20" s="15" t="s">
        <v>24</v>
      </c>
      <c r="B20" s="15"/>
      <c r="C20" s="15"/>
      <c r="D20" s="15"/>
      <c r="E20" s="15"/>
      <c r="F20" s="16"/>
      <c r="G20" s="15"/>
      <c r="H20" s="15"/>
      <c r="I20" s="15"/>
      <c r="J20" s="15"/>
      <c r="K20" s="15"/>
      <c r="L20" s="15"/>
      <c r="M20" s="15"/>
    </row>
    <row r="22" spans="1:13" x14ac:dyDescent="0.3">
      <c r="A22" s="19" t="s">
        <v>26</v>
      </c>
      <c r="B22" s="19"/>
      <c r="C22" s="19"/>
      <c r="D22" s="19"/>
      <c r="E22" s="19"/>
      <c r="F22" s="20"/>
      <c r="G22" s="19"/>
      <c r="H22" s="19"/>
      <c r="I22" s="19"/>
      <c r="J22" s="19"/>
      <c r="K22" s="19"/>
      <c r="L22" s="19"/>
      <c r="M22" s="19"/>
    </row>
    <row r="24" spans="1:13" x14ac:dyDescent="0.3">
      <c r="A24" s="21" t="s">
        <v>28</v>
      </c>
      <c r="B24" s="21"/>
      <c r="C24" s="21"/>
      <c r="D24" s="21"/>
      <c r="E24" s="21"/>
      <c r="F24" s="22"/>
      <c r="G24" s="21"/>
      <c r="H24" s="21"/>
      <c r="I24" s="21"/>
      <c r="J24" s="21"/>
      <c r="K24" s="21"/>
      <c r="L24" s="21"/>
      <c r="M24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myselfpriya14@gmail.com</dc:creator>
  <cp:lastModifiedBy>myselfpriya14@gmail.com</cp:lastModifiedBy>
  <dcterms:created xsi:type="dcterms:W3CDTF">2026-09-29T11:59:44Z</dcterms:created>
  <dcterms:modified xsi:type="dcterms:W3CDTF">2026-09-30T12:30:19Z</dcterms:modified>
</cp:coreProperties>
</file>